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gel\Documents\Proyectos\ProcureFlow\workbook\"/>
    </mc:Choice>
  </mc:AlternateContent>
  <xr:revisionPtr revIDLastSave="0" documentId="13_ncr:1_{ED520F69-1F28-4382-8F53-FDFF4996521D}" xr6:coauthVersionLast="47" xr6:coauthVersionMax="47" xr10:uidLastSave="{00000000-0000-0000-0000-000000000000}"/>
  <bookViews>
    <workbookView xWindow="-120" yWindow="-120" windowWidth="29040" windowHeight="16440" firstSheet="11" activeTab="15" xr2:uid="{91F9E325-0144-47C2-8DC7-FEAC7E41F3B4}"/>
  </bookViews>
  <sheets>
    <sheet name="00_HOME" sheetId="2" r:id="rId1"/>
    <sheet name="01_CONFIG" sheetId="3" r:id="rId2"/>
    <sheet name="02_CONTROL" sheetId="4" r:id="rId3"/>
    <sheet name="10_DATA_Products" sheetId="5" r:id="rId4"/>
    <sheet name="11_DATA_Sites" sheetId="6" r:id="rId5"/>
    <sheet name="12_DATA_Suppliers" sheetId="7" r:id="rId6"/>
    <sheet name="13_DATA_Inventory" sheetId="8" r:id="rId7"/>
    <sheet name="14_DATA_PurchaseOrders" sheetId="9" r:id="rId8"/>
    <sheet name="15_DATA_Quality" sheetId="10" r:id="rId9"/>
    <sheet name="16_DATA_Date" sheetId="11" r:id="rId10"/>
    <sheet name="20_CALC_Replenishment" sheetId="12" r:id="rId11"/>
    <sheet name="21_CALC_SupplierPerformance" sheetId="13" r:id="rId12"/>
    <sheet name="30_PVT_Inventory" sheetId="14" r:id="rId13"/>
    <sheet name="31_PVT_Procurement" sheetId="15" r:id="rId14"/>
    <sheet name="32_PVT_Suppliers" sheetId="16" r:id="rId15"/>
    <sheet name="40_RPT_Replenishment" sheetId="17" r:id="rId16"/>
    <sheet name="41_DASH_Management" sheetId="18" r:id="rId17"/>
  </sheets>
  <definedNames>
    <definedName name="cfg_DemandHistoryWeeks">'01_CONFIG'!$B$7</definedName>
    <definedName name="cfg_ExcessBufferWeeks">'01_CONFIG'!$B$12</definedName>
    <definedName name="cfg_ReportingDate">'01_CONFIG'!$B$6</definedName>
    <definedName name="cfg_ReviewPeriodWeeks">'01_CONFIG'!$B$8</definedName>
    <definedName name="cfg_ServiceLevelA">'01_CONFIG'!$B$9</definedName>
    <definedName name="cfg_ServiceLevelB">'01_CONFIG'!$B$10</definedName>
    <definedName name="cfg_ServiceLevelC">'01_CONFIG'!$B$11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9" i="2" l="1"/>
</calcChain>
</file>

<file path=xl/sharedStrings.xml><?xml version="1.0" encoding="utf-8"?>
<sst xmlns="http://schemas.openxmlformats.org/spreadsheetml/2006/main" count="99" uniqueCount="69">
  <si>
    <t>ProcureFlow</t>
  </si>
  <si>
    <t>Procurement &amp; Inventory Management System</t>
  </si>
  <si>
    <t>SYSTEM OVERVIEW</t>
  </si>
  <si>
    <t>Current Released Version</t>
  </si>
  <si>
    <t>v0.2.0</t>
  </si>
  <si>
    <t>Current Phase</t>
  </si>
  <si>
    <t>Phase 2 — Workbook Foundation</t>
  </si>
  <si>
    <t>Phase Status</t>
  </si>
  <si>
    <t>IN PROGRESS</t>
  </si>
  <si>
    <t>Reporting Date</t>
  </si>
  <si>
    <t>Last Successful Refresh</t>
  </si>
  <si>
    <t>Not available</t>
  </si>
  <si>
    <t>Overall Quality Status</t>
  </si>
  <si>
    <t>NOT EVALUATED</t>
  </si>
  <si>
    <t>NAVIGATION</t>
  </si>
  <si>
    <t>Configuration</t>
  </si>
  <si>
    <t>Quality Control</t>
  </si>
  <si>
    <t>Replenishment Report</t>
  </si>
  <si>
    <t>Management Dashboard</t>
  </si>
  <si>
    <t>ProcureFlow — Configuration</t>
  </si>
  <si>
    <t>BUSINESS PARAMETERS</t>
  </si>
  <si>
    <t>Parameter</t>
  </si>
  <si>
    <t>Value</t>
  </si>
  <si>
    <t>Unit</t>
  </si>
  <si>
    <t>Description</t>
  </si>
  <si>
    <t>Demand History Weeks</t>
  </si>
  <si>
    <t>Review Period Weeks</t>
  </si>
  <si>
    <t>Service Level A</t>
  </si>
  <si>
    <t>Service Level B</t>
  </si>
  <si>
    <t>Service Level C</t>
  </si>
  <si>
    <t>Excess Buffer Weeks</t>
  </si>
  <si>
    <t>Weeks</t>
  </si>
  <si>
    <t>%</t>
  </si>
  <si>
    <t>Date</t>
  </si>
  <si>
    <t>Historical point of view used by operational calculations</t>
  </si>
  <si>
    <t>Number of historical weeks used for demand calculations</t>
  </si>
  <si>
    <t>Inventory review period</t>
  </si>
  <si>
    <t>Target service level for Criticality A</t>
  </si>
  <si>
    <t>Target service level for Criticality B</t>
  </si>
  <si>
    <t>Target service level for Criticality C</t>
  </si>
  <si>
    <t>Additional demand weeks used to identify excess inventory</t>
  </si>
  <si>
    <t>ProcureFlow — Quality Control</t>
  </si>
  <si>
    <t>QUALITY CONTROL FRAMEWORK</t>
  </si>
  <si>
    <t>Control ID</t>
  </si>
  <si>
    <t>Control Description</t>
  </si>
  <si>
    <t>Result</t>
  </si>
  <si>
    <t>Exception Count</t>
  </si>
  <si>
    <t>Status</t>
  </si>
  <si>
    <t>Notes</t>
  </si>
  <si>
    <t>Quality Control implementation begins in Phase 6.</t>
  </si>
  <si>
    <t>← Home</t>
  </si>
  <si>
    <t>ProcureFlow — Products Data</t>
  </si>
  <si>
    <t>Power Query output will be implemented in Phase 3.</t>
  </si>
  <si>
    <t>ProcureFlow — Sites Data</t>
  </si>
  <si>
    <t>ProcureFlow — Suppliers Data</t>
  </si>
  <si>
    <t>ProcureFlow — Inventory History Data</t>
  </si>
  <si>
    <t>ProcureFlow — Purchase Orders Data</t>
  </si>
  <si>
    <t>ProcureFlow — Quality Incidents Data</t>
  </si>
  <si>
    <t>ProcureFlow — Date Data</t>
  </si>
  <si>
    <t>ProcureFlow — Replenishment Model</t>
  </si>
  <si>
    <t>Operational model will be implemented in Phase 4.</t>
  </si>
  <si>
    <t>ProcureFlow — Inventory Analysis</t>
  </si>
  <si>
    <t>PivotTable analysis will be implemented in Phase 7.</t>
  </si>
  <si>
    <t>ProcureFlow — Procurement Analysis</t>
  </si>
  <si>
    <t>ProcureFlow — Supplier Analysis</t>
  </si>
  <si>
    <t>Operational reporting will be implemented in Phase 9.</t>
  </si>
  <si>
    <t>ProcureFlow — Replenishment Report</t>
  </si>
  <si>
    <t>ProcureFlow — Management Dashboard</t>
  </si>
  <si>
    <t>Management dashboard will be implemented in Phase 10.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</si>
</sst>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21">
    <font>
      <sz val="11"/>
      <color theme="1"/>
      <name val="Aptos Narrow"/>
      <family val="2"/>
      <scheme val="minor"/>
    </font>
    <font>
      <sz val="11"/>
      <color theme="1"/>
      <name val="Aptos "/>
    </font>
    <font>
      <u/>
      <sz val="11"/>
      <color theme="10"/>
      <name val="Aptos Narrow"/>
      <family val="2"/>
      <scheme val="minor"/>
    </font>
    <font>
      <sz val="11"/>
      <color theme="1"/>
      <name val="Aptos"/>
      <family val="2"/>
    </font>
    <font>
      <b/>
      <sz val="11"/>
      <color theme="0"/>
      <name val="Aptos "/>
    </font>
    <font>
      <b/>
      <sz val="18"/>
      <color theme="0"/>
      <name val="Aptos "/>
    </font>
    <font>
      <sz val="12"/>
      <color rgb="FF17324D"/>
      <name val="Aptos "/>
    </font>
    <font>
      <b/>
      <sz val="11"/>
      <color rgb="FF1F2933"/>
      <name val="Aptos "/>
    </font>
    <font>
      <u/>
      <sz val="11"/>
      <color rgb="FF2F7C7A"/>
      <name val="Aptos "/>
    </font>
    <font>
      <b/>
      <sz val="11"/>
      <color theme="0"/>
      <name val="Aptos"/>
      <family val="2"/>
    </font>
    <font>
      <b/>
      <sz val="16"/>
      <color theme="0"/>
      <name val="Aptos"/>
      <family val="2"/>
    </font>
    <font>
      <b/>
      <sz val="11"/>
      <color rgb="FF17324D"/>
      <name val="Aptos"/>
      <family val="2"/>
    </font>
    <font>
      <sz val="11"/>
      <color rgb="FF1F2933"/>
      <name val="Aptos"/>
      <family val="2"/>
    </font>
    <font>
      <u/>
      <sz val="11"/>
      <color rgb="FF2F7C7A"/>
      <name val="Aptos Narrow"/>
      <family val="2"/>
      <scheme val="minor"/>
    </font>
    <font>
      <u/>
      <sz val="11"/>
      <color rgb="FF2F7C7A"/>
      <name val="Aptos"/>
      <family val="2"/>
    </font>
    <font>
      <sz val="16"/>
      <color theme="0"/>
      <name val="Aptos "/>
    </font>
    <font>
      <b/>
      <sz val="16"/>
      <color theme="0"/>
      <name val="Aptos "/>
    </font>
    <font>
      <b/>
      <sz val="10"/>
      <color rgb="FF17324D"/>
      <name val="Aptos "/>
    </font>
    <font>
      <i/>
      <sz val="11"/>
      <color rgb="FF6B7280"/>
      <name val="Aptos "/>
    </font>
    <font>
      <i/>
      <sz val="10"/>
      <color rgb="FF6B7280"/>
      <name val="Arial Unicode MS"/>
    </font>
    <font>
      <i/>
      <sz val="11"/>
      <color rgb="FF6B728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7324D"/>
        <bgColor indexed="64"/>
      </patternFill>
    </fill>
    <fill>
      <patternFill patternType="solid">
        <fgColor rgb="FFDCE8F1"/>
        <bgColor indexed="64"/>
      </patternFill>
    </fill>
    <fill>
      <patternFill patternType="solid">
        <fgColor rgb="FF35658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9EEF2"/>
        <bgColor indexed="64"/>
      </patternFill>
    </fill>
  </fills>
  <borders count="4">
    <border>
      <left/>
      <right/>
      <top/>
      <bottom/>
      <diagonal/>
    </border>
    <border>
      <left style="thin">
        <color rgb="FF356582"/>
      </left>
      <right/>
      <top style="thin">
        <color rgb="FF356582"/>
      </top>
      <bottom style="thin">
        <color rgb="FF356582"/>
      </bottom>
      <diagonal/>
    </border>
    <border>
      <left/>
      <right/>
      <top style="thin">
        <color rgb="FF356582"/>
      </top>
      <bottom style="thin">
        <color rgb="FF356582"/>
      </bottom>
      <diagonal/>
    </border>
    <border>
      <left/>
      <right style="thin">
        <color rgb="FF356582"/>
      </right>
      <top style="thin">
        <color rgb="FF356582"/>
      </top>
      <bottom style="thin">
        <color rgb="FF356582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7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0" xfId="0" applyFont="1" applyAlignment="1">
      <alignment vertical="center"/>
    </xf>
    <xf numFmtId="164" fontId="1" fillId="0" borderId="0" xfId="0" applyNumberFormat="1" applyFont="1"/>
    <xf numFmtId="0" fontId="5" fillId="2" borderId="0" xfId="0" applyFont="1" applyFill="1"/>
    <xf numFmtId="0" fontId="6" fillId="3" borderId="0" xfId="0" applyFont="1" applyFill="1"/>
    <xf numFmtId="0" fontId="4" fillId="4" borderId="0" xfId="0" applyFont="1" applyFill="1"/>
    <xf numFmtId="0" fontId="7" fillId="0" borderId="0" xfId="0" applyFont="1"/>
    <xf numFmtId="0" fontId="8" fillId="0" borderId="0" xfId="1" applyFont="1"/>
    <xf numFmtId="0" fontId="10" fillId="2" borderId="0" xfId="0" applyFont="1" applyFill="1"/>
    <xf numFmtId="0" fontId="9" fillId="4" borderId="0" xfId="0" applyFont="1" applyFill="1"/>
    <xf numFmtId="0" fontId="11" fillId="3" borderId="1" xfId="0" applyFont="1" applyFill="1" applyBorder="1"/>
    <xf numFmtId="0" fontId="11" fillId="3" borderId="2" xfId="0" applyFont="1" applyFill="1" applyBorder="1"/>
    <xf numFmtId="0" fontId="11" fillId="3" borderId="3" xfId="0" applyFont="1" applyFill="1" applyBorder="1"/>
    <xf numFmtId="0" fontId="12" fillId="5" borderId="0" xfId="0" applyFont="1" applyFill="1"/>
    <xf numFmtId="0" fontId="13" fillId="0" borderId="0" xfId="1" applyFont="1"/>
    <xf numFmtId="0" fontId="14" fillId="0" borderId="0" xfId="1" applyFont="1"/>
    <xf numFmtId="0" fontId="15" fillId="2" borderId="0" xfId="0" applyFont="1" applyFill="1"/>
    <xf numFmtId="0" fontId="16" fillId="2" borderId="0" xfId="0" applyFont="1" applyFill="1"/>
    <xf numFmtId="0" fontId="17" fillId="3" borderId="0" xfId="0" applyFont="1" applyFill="1"/>
    <xf numFmtId="0" fontId="18" fillId="6" borderId="0" xfId="0" applyFont="1" applyFill="1"/>
    <xf numFmtId="0" fontId="19" fillId="6" borderId="0" xfId="0" applyFont="1" applyFill="1"/>
    <xf numFmtId="0" fontId="20" fillId="6" borderId="0" xfId="0" applyFont="1" applyFill="1"/>
    <xf numFmtId="164" fontId="3" fillId="0" borderId="0" xfId="0" applyNumberFormat="1" applyFont="1" applyProtection="1">
      <protection locked="0"/>
    </xf>
    <xf numFmtId="0" fontId="3" fillId="0" borderId="0" xfId="0" applyFont="1" applyProtection="1">
      <protection locked="0"/>
    </xf>
    <xf numFmtId="9" fontId="3" fillId="0" borderId="0" xfId="0" applyNumberFormat="1" applyFont="1" applyProtection="1"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6B7280"/>
      <color rgb="FFE9EEF2"/>
      <color rgb="FF17324D"/>
      <color rgb="FFC98200"/>
      <color rgb="FF2F7C7A"/>
      <color rgb="FF356582"/>
      <color rgb="FFDCE8F1"/>
      <color rgb="FF1F2933"/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55D11-A8D6-47EE-BFDC-1FDE791DC1A9}">
  <sheetPr codeName="Sheet2">
    <tabColor rgb="FF17324D"/>
  </sheetPr>
  <dimension ref="A1:F11"/>
  <sheetViews>
    <sheetView showGridLines="0" workbookViewId="0"/>
  </sheetViews>
  <sheetFormatPr defaultRowHeight="14.25"/>
  <cols>
    <col min="1" max="1" width="45.42578125" style="1" bestFit="1" customWidth="1"/>
    <col min="2" max="2" width="33" style="1" bestFit="1" customWidth="1"/>
    <col min="3" max="3" width="9.140625" style="1"/>
    <col min="4" max="4" width="23.140625" style="1" bestFit="1" customWidth="1"/>
    <col min="5" max="16384" width="9.140625" style="1"/>
  </cols>
  <sheetData>
    <row r="1" spans="1:6" ht="23.25">
      <c r="A1" s="5" t="s">
        <v>0</v>
      </c>
      <c r="B1" s="5"/>
      <c r="C1" s="5"/>
      <c r="D1" s="5"/>
      <c r="E1" s="5"/>
      <c r="F1" s="5"/>
    </row>
    <row r="2" spans="1:6" ht="15">
      <c r="A2" s="6" t="s">
        <v>1</v>
      </c>
      <c r="B2" s="6"/>
      <c r="C2" s="6"/>
      <c r="D2" s="6"/>
      <c r="E2" s="6"/>
      <c r="F2" s="6"/>
    </row>
    <row r="4" spans="1:6" ht="15">
      <c r="A4" s="7" t="s">
        <v>2</v>
      </c>
      <c r="B4" s="7"/>
      <c r="D4" s="7" t="s">
        <v>14</v>
      </c>
      <c r="E4" s="7"/>
    </row>
    <row r="6" spans="1:6" ht="15">
      <c r="A6" s="8" t="s">
        <v>3</v>
      </c>
      <c r="B6" s="1" t="s">
        <v>4</v>
      </c>
      <c r="D6" s="9" t="s">
        <v>15</v>
      </c>
    </row>
    <row r="7" spans="1:6" ht="15">
      <c r="A7" s="8" t="s">
        <v>5</v>
      </c>
      <c r="B7" s="1" t="s">
        <v>6</v>
      </c>
      <c r="D7" s="9" t="s">
        <v>16</v>
      </c>
    </row>
    <row r="8" spans="1:6" ht="15">
      <c r="A8" s="8" t="s">
        <v>7</v>
      </c>
      <c r="B8" s="1" t="s">
        <v>8</v>
      </c>
      <c r="D8" s="9" t="s">
        <v>17</v>
      </c>
    </row>
    <row r="9" spans="1:6" ht="15">
      <c r="A9" s="8" t="s">
        <v>9</v>
      </c>
      <c r="B9" s="4">
        <f>cfg_ReportingDate</f>
        <v>45649</v>
      </c>
      <c r="D9" s="9" t="s">
        <v>18</v>
      </c>
    </row>
    <row r="10" spans="1:6" ht="15">
      <c r="A10" s="8" t="s">
        <v>10</v>
      </c>
      <c r="B10" s="1" t="s">
        <v>11</v>
      </c>
    </row>
    <row r="11" spans="1:6" ht="15">
      <c r="A11" s="8" t="s">
        <v>12</v>
      </c>
      <c r="B11" s="1" t="s">
        <v>13</v>
      </c>
    </row>
  </sheetData>
  <hyperlinks>
    <hyperlink ref="D6" location="'01_CONFIG'!A1" display="Configuration" xr:uid="{9CC105EA-8791-4338-AA96-5BE857D1CACC}"/>
    <hyperlink ref="D7" location="'02_CONTROL'!A1" display="Quality Control" xr:uid="{E3A8E19C-7419-419F-A1E5-2D0A31C504E0}"/>
    <hyperlink ref="D8" location="'40_RPT_Replenishment'!A1" display="Replenishment Report" xr:uid="{6A5481B4-BC96-4F72-A8C7-85A223C293D9}"/>
    <hyperlink ref="D9" location="'41_DASH_Management'!A1" display="Management Dashboard" xr:uid="{C46EDE0E-7C07-4BC2-86CD-D71028D0F6D9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A9F57-6FF6-409C-A67F-DECE145B6237}">
  <sheetPr codeName="Sheet3">
    <tabColor rgb="FF17324D"/>
  </sheetPr>
  <dimension ref="A1:D12"/>
  <sheetViews>
    <sheetView showGridLines="0" workbookViewId="0">
      <selection activeCell="B6" sqref="B6"/>
    </sheetView>
  </sheetViews>
  <sheetFormatPr defaultRowHeight="15"/>
  <cols>
    <col min="1" max="1" width="28.7109375" style="2" bestFit="1" customWidth="1"/>
    <col min="2" max="2" width="13.140625" style="2" bestFit="1" customWidth="1"/>
    <col min="3" max="3" width="7.140625" style="2" customWidth="1"/>
    <col min="4" max="4" width="56.7109375" style="2" bestFit="1" customWidth="1"/>
    <col min="5" max="16384" width="9.140625" style="2"/>
  </cols>
  <sheetData>
    <row r="1" spans="1:4" ht="21">
      <c r="A1" s="10" t="s">
        <v>19</v>
      </c>
      <c r="B1" s="10"/>
      <c r="C1" s="10"/>
      <c r="D1" s="10"/>
    </row>
    <row r="2" spans="1:4">
      <c r="A2" s="17" t="s">
        <v>50</v>
      </c>
    </row>
    <row r="3" spans="1:4">
      <c r="A3" s="11" t="s">
        <v>20</v>
      </c>
      <c r="B3" s="11"/>
      <c r="C3" s="11"/>
      <c r="D3" s="11"/>
    </row>
    <row r="5" spans="1:4">
      <c r="A5" s="12" t="s">
        <v>21</v>
      </c>
      <c r="B5" s="13" t="s">
        <v>22</v>
      </c>
      <c r="C5" s="13" t="s">
        <v>23</v>
      </c>
      <c r="D5" s="14" t="s">
        <v>24</v>
      </c>
    </row>
    <row r="6" spans="1:4">
      <c r="A6" s="15" t="s">
        <v>9</v>
      </c>
      <c r="B6" s="24">
        <v>45649</v>
      </c>
      <c r="C6" s="2" t="s">
        <v>33</v>
      </c>
      <c r="D6" s="3" t="s">
        <v>34</v>
      </c>
    </row>
    <row r="7" spans="1:4">
      <c r="A7" s="15" t="s">
        <v>25</v>
      </c>
      <c r="B7" s="25">
        <v>26</v>
      </c>
      <c r="C7" s="2" t="s">
        <v>31</v>
      </c>
      <c r="D7" s="3" t="s">
        <v>35</v>
      </c>
    </row>
    <row r="8" spans="1:4">
      <c r="A8" s="15" t="s">
        <v>26</v>
      </c>
      <c r="B8" s="25">
        <v>1</v>
      </c>
      <c r="C8" s="2" t="s">
        <v>31</v>
      </c>
      <c r="D8" s="3" t="s">
        <v>36</v>
      </c>
    </row>
    <row r="9" spans="1:4">
      <c r="A9" s="15" t="s">
        <v>27</v>
      </c>
      <c r="B9" s="26">
        <v>0.99</v>
      </c>
      <c r="C9" s="2" t="s">
        <v>32</v>
      </c>
      <c r="D9" s="3" t="s">
        <v>37</v>
      </c>
    </row>
    <row r="10" spans="1:4">
      <c r="A10" s="15" t="s">
        <v>28</v>
      </c>
      <c r="B10" s="26">
        <v>0.97</v>
      </c>
      <c r="C10" s="2" t="s">
        <v>32</v>
      </c>
      <c r="D10" s="3" t="s">
        <v>38</v>
      </c>
    </row>
    <row r="11" spans="1:4">
      <c r="A11" s="15" t="s">
        <v>29</v>
      </c>
      <c r="B11" s="26">
        <v>0.95</v>
      </c>
      <c r="C11" s="2" t="s">
        <v>32</v>
      </c>
      <c r="D11" s="3" t="s">
        <v>39</v>
      </c>
    </row>
    <row r="12" spans="1:4">
      <c r="A12" s="15" t="s">
        <v>30</v>
      </c>
      <c r="B12" s="25">
        <v>4</v>
      </c>
      <c r="C12" s="2" t="s">
        <v>31</v>
      </c>
      <c r="D12" s="3" t="s">
        <v>40</v>
      </c>
    </row>
  </sheetData>
  <sheetProtection sheet="1" objects="1" scenarios="1" selectLockedCells="1"/>
  <dataValidations count="4">
    <dataValidation type="whole" operator="greaterThanOrEqual" allowBlank="1" showInputMessage="1" showErrorMessage="1" sqref="B7 B8" xr:uid="{63B443FF-1870-405F-995E-EE8237863F56}">
      <formula1>1</formula1>
    </dataValidation>
    <dataValidation type="whole" operator="greaterThanOrEqual" allowBlank="1" showInputMessage="1" showErrorMessage="1" sqref="B12" xr:uid="{61346A11-CFDF-4079-9620-9DB26C26ACF2}">
      <formula1>0</formula1>
    </dataValidation>
    <dataValidation type="decimal" allowBlank="1" showInputMessage="1" showErrorMessage="1" sqref="B9:B11" xr:uid="{54BF249B-8AA1-4016-832A-83549504DA4C}">
      <formula1>0</formula1>
      <formula2>1</formula2>
    </dataValidation>
    <dataValidation type="date" allowBlank="1" showInputMessage="1" showErrorMessage="1" sqref="B6" xr:uid="{AF6A2C58-11DB-4499-8908-9FC50D5C3B81}">
      <formula1>44564</formula1>
      <formula2>45649</formula2>
    </dataValidation>
  </dataValidations>
  <hyperlinks>
    <hyperlink ref="A2" location="'00_HOME'!A1" display="← Home" xr:uid="{BBD12A35-2EF0-4C00-B66E-22D7D4A8B828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BECAF-F0CD-4723-A114-C2B95240799A}">
  <sheetPr codeName="Sheet4">
    <tabColor rgb="FF17324D"/>
  </sheetPr>
  <dimension ref="A1:F7"/>
  <sheetViews>
    <sheetView showGridLines="0" workbookViewId="0">
      <selection activeCell="A2" sqref="A2"/>
    </sheetView>
  </sheetViews>
  <sheetFormatPr defaultRowHeight="14.25"/>
  <cols>
    <col min="1" max="1" width="46" style="1" bestFit="1" customWidth="1"/>
    <col min="2" max="2" width="16.85546875" style="1" bestFit="1" customWidth="1"/>
    <col min="3" max="3" width="9.140625" style="1"/>
    <col min="4" max="4" width="14.85546875" style="1" bestFit="1" customWidth="1"/>
    <col min="5" max="16384" width="9.140625" style="1"/>
  </cols>
  <sheetData>
    <row r="1" spans="1:6" ht="20.25">
      <c r="A1" s="19" t="s">
        <v>41</v>
      </c>
      <c r="B1" s="18"/>
      <c r="C1" s="18"/>
      <c r="D1" s="18"/>
      <c r="E1" s="18"/>
      <c r="F1" s="18"/>
    </row>
    <row r="2" spans="1:6">
      <c r="A2" s="9" t="s">
        <v>50</v>
      </c>
    </row>
    <row r="3" spans="1:6" ht="15">
      <c r="A3" s="7" t="s">
        <v>42</v>
      </c>
      <c r="B3" s="7"/>
      <c r="C3" s="7"/>
      <c r="D3" s="7"/>
      <c r="E3" s="7"/>
      <c r="F3" s="7"/>
    </row>
    <row r="5" spans="1:6">
      <c r="A5" s="20" t="s">
        <v>43</v>
      </c>
      <c r="B5" s="20" t="s">
        <v>44</v>
      </c>
      <c r="C5" s="20" t="s">
        <v>45</v>
      </c>
      <c r="D5" s="20" t="s">
        <v>46</v>
      </c>
      <c r="E5" s="20" t="s">
        <v>47</v>
      </c>
      <c r="F5" s="20" t="s">
        <v>48</v>
      </c>
    </row>
    <row r="7" spans="1:6">
      <c r="A7" s="21" t="s">
        <v>49</v>
      </c>
      <c r="B7" s="21"/>
      <c r="C7" s="21"/>
      <c r="D7" s="21"/>
      <c r="E7" s="21"/>
      <c r="F7" s="21"/>
    </row>
  </sheetData>
  <hyperlinks>
    <hyperlink ref="A2" location="'00_HOME'!A1" display="← Home" xr:uid="{6AA18865-AC3E-490E-A4F2-620731E26389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C7670-F362-4364-9F51-C669B5E15168}">
  <sheetPr codeName="Sheet5">
    <tabColor rgb="FF356582"/>
  </sheetPr>
  <dimension ref="A1:A3"/>
  <sheetViews>
    <sheetView workbookViewId="0">
      <selection activeCell="A8" sqref="A8"/>
    </sheetView>
  </sheetViews>
  <sheetFormatPr defaultRowHeight="15"/>
  <cols>
    <col min="1" max="1" width="51" bestFit="1" customWidth="1"/>
  </cols>
  <sheetData>
    <row r="1" spans="1:1" ht="21">
      <c r="A1" s="10" t="s">
        <v>51</v>
      </c>
    </row>
    <row r="2" spans="1:1">
      <c r="A2" s="9" t="s">
        <v>50</v>
      </c>
    </row>
    <row r="3" spans="1:1">
      <c r="A3" s="21" t="s">
        <v>52</v>
      </c>
    </row>
  </sheetData>
  <hyperlinks>
    <hyperlink ref="A2" location="'00_HOME'!A1" display="← Home" xr:uid="{28F72765-4C65-44A9-9B92-839503DC2D1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F2A9C-5503-431A-82C6-4A89C9723997}">
  <sheetPr codeName="Sheet6">
    <tabColor rgb="FF356582"/>
  </sheetPr>
  <dimension ref="A1:A3"/>
  <sheetViews>
    <sheetView workbookViewId="0">
      <selection activeCell="A2" sqref="A2"/>
    </sheetView>
  </sheetViews>
  <sheetFormatPr defaultRowHeight="15"/>
  <cols>
    <col min="1" max="1" width="51" bestFit="1" customWidth="1"/>
  </cols>
  <sheetData>
    <row r="1" spans="1:1" ht="21">
      <c r="A1" s="10" t="s">
        <v>53</v>
      </c>
    </row>
    <row r="2" spans="1:1">
      <c r="A2" s="9" t="s">
        <v>50</v>
      </c>
    </row>
    <row r="3" spans="1:1">
      <c r="A3" s="21" t="s">
        <v>52</v>
      </c>
    </row>
  </sheetData>
  <hyperlinks>
    <hyperlink ref="A2" location="'00_HOME'!A1" display="← Home" xr:uid="{10780A70-0168-4EB0-951E-7F048636FB61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0144B-ECBE-420A-BE97-17A6D9ECB363}">
  <sheetPr codeName="Sheet7">
    <tabColor rgb="FF356582"/>
  </sheetPr>
  <dimension ref="A1:A3"/>
  <sheetViews>
    <sheetView workbookViewId="0">
      <selection activeCell="A2" sqref="A2"/>
    </sheetView>
  </sheetViews>
  <sheetFormatPr defaultRowHeight="15"/>
  <cols>
    <col min="1" max="1" width="51" bestFit="1" customWidth="1"/>
  </cols>
  <sheetData>
    <row r="1" spans="1:1" ht="21">
      <c r="A1" s="10" t="s">
        <v>54</v>
      </c>
    </row>
    <row r="2" spans="1:1">
      <c r="A2" s="9" t="s">
        <v>50</v>
      </c>
    </row>
    <row r="3" spans="1:1">
      <c r="A3" s="21" t="s">
        <v>52</v>
      </c>
    </row>
  </sheetData>
  <hyperlinks>
    <hyperlink ref="A2" location="'00_HOME'!A1" display="← Home" xr:uid="{0CB8F2BB-5083-4E15-8E69-9999CBCFC24A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4A20C-2F2A-48D4-9426-927D96612D4B}">
  <sheetPr codeName="Sheet8">
    <tabColor rgb="FF356582"/>
  </sheetPr>
  <dimension ref="A1:A3"/>
  <sheetViews>
    <sheetView workbookViewId="0">
      <selection activeCell="A2" sqref="A2"/>
    </sheetView>
  </sheetViews>
  <sheetFormatPr defaultRowHeight="15"/>
  <cols>
    <col min="1" max="1" width="54.28515625" bestFit="1" customWidth="1"/>
  </cols>
  <sheetData>
    <row r="1" spans="1:1" ht="21">
      <c r="A1" s="10" t="s">
        <v>55</v>
      </c>
    </row>
    <row r="2" spans="1:1">
      <c r="A2" s="9" t="s">
        <v>50</v>
      </c>
    </row>
    <row r="3" spans="1:1">
      <c r="A3" s="21" t="s">
        <v>52</v>
      </c>
    </row>
  </sheetData>
  <hyperlinks>
    <hyperlink ref="A2" location="'00_HOME'!A1" display="← Home" xr:uid="{7CBBEA37-2DD4-4749-9858-ACE67406C9D4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B172A-EFC7-4949-8E9D-5B4E2F130623}">
  <sheetPr codeName="Sheet9">
    <tabColor rgb="FF356582"/>
  </sheetPr>
  <dimension ref="A1:A3"/>
  <sheetViews>
    <sheetView workbookViewId="0">
      <selection activeCell="A2" sqref="A2"/>
    </sheetView>
  </sheetViews>
  <sheetFormatPr defaultRowHeight="15"/>
  <cols>
    <col min="1" max="1" width="54.28515625" bestFit="1" customWidth="1"/>
  </cols>
  <sheetData>
    <row r="1" spans="1:1" ht="21">
      <c r="A1" s="10" t="s">
        <v>56</v>
      </c>
    </row>
    <row r="2" spans="1:1">
      <c r="A2" s="9" t="s">
        <v>50</v>
      </c>
    </row>
    <row r="3" spans="1:1">
      <c r="A3" s="21" t="s">
        <v>52</v>
      </c>
    </row>
  </sheetData>
  <hyperlinks>
    <hyperlink ref="A2" location="'00_HOME'!A1" display="← Home" xr:uid="{3355C00E-3D7A-4F10-A881-6E0543B63F23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F8A98-8ACA-43E2-A238-9BC89BFCBB77}">
  <sheetPr codeName="Sheet10">
    <tabColor rgb="FF356582"/>
  </sheetPr>
  <dimension ref="A1:A3"/>
  <sheetViews>
    <sheetView workbookViewId="0">
      <selection activeCell="A2" sqref="A2"/>
    </sheetView>
  </sheetViews>
  <sheetFormatPr defaultRowHeight="15"/>
  <cols>
    <col min="1" max="1" width="54.28515625" bestFit="1" customWidth="1"/>
  </cols>
  <sheetData>
    <row r="1" spans="1:1" ht="21">
      <c r="A1" s="10" t="s">
        <v>57</v>
      </c>
    </row>
    <row r="2" spans="1:1">
      <c r="A2" s="9" t="s">
        <v>50</v>
      </c>
    </row>
    <row r="3" spans="1:1">
      <c r="A3" s="21" t="s">
        <v>52</v>
      </c>
    </row>
  </sheetData>
  <hyperlinks>
    <hyperlink ref="A2" location="'00_HOME'!A1" display="← Home" xr:uid="{B4E2EB83-BD6F-407B-97B1-0502C851BBD7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93EF2-EEFC-48DB-A0D1-50037E9AC10D}">
  <sheetPr codeName="Sheet11">
    <tabColor rgb="FF356582"/>
  </sheetPr>
  <dimension ref="A1:A3"/>
  <sheetViews>
    <sheetView workbookViewId="0">
      <selection activeCell="A2" sqref="A2"/>
    </sheetView>
  </sheetViews>
  <sheetFormatPr defaultRowHeight="15"/>
  <cols>
    <col min="1" max="1" width="51" bestFit="1" customWidth="1"/>
  </cols>
  <sheetData>
    <row r="1" spans="1:1" ht="21">
      <c r="A1" s="10" t="s">
        <v>58</v>
      </c>
    </row>
    <row r="2" spans="1:1">
      <c r="A2" s="9" t="s">
        <v>50</v>
      </c>
    </row>
    <row r="3" spans="1:1">
      <c r="A3" s="21" t="s">
        <v>52</v>
      </c>
    </row>
  </sheetData>
  <hyperlinks>
    <hyperlink ref="A2" location="'00_HOME'!A1" display="← Home" xr:uid="{2968EFF3-C9EB-4A9B-B075-B03AB984DE0F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6DA2E-24FA-4792-8B48-8D0ABDC98D2E}">
  <sheetPr codeName="Sheet12">
    <tabColor rgb="FF2F7C7A"/>
  </sheetPr>
  <dimension ref="A1:A3"/>
  <sheetViews>
    <sheetView workbookViewId="0">
      <selection activeCell="A2" sqref="A2"/>
    </sheetView>
  </sheetViews>
  <sheetFormatPr defaultRowHeight="15"/>
  <cols>
    <col min="1" max="1" width="53.85546875" bestFit="1" customWidth="1"/>
  </cols>
  <sheetData>
    <row r="1" spans="1:1" ht="21">
      <c r="A1" s="10" t="s">
        <v>59</v>
      </c>
    </row>
    <row r="2" spans="1:1">
      <c r="A2" s="9" t="s">
        <v>50</v>
      </c>
    </row>
    <row r="3" spans="1:1">
      <c r="A3" s="21" t="s">
        <v>60</v>
      </c>
    </row>
  </sheetData>
  <hyperlinks>
    <hyperlink ref="A2" location="'00_HOME'!A1" display="← Home" xr:uid="{45636FDC-150C-4A25-8384-581D80254F14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607DE-0E75-41B6-89D5-67D84A666F00}">
  <sheetPr codeName="Sheet13">
    <tabColor rgb="FF2F7C7A"/>
  </sheetPr>
  <dimension ref="A1:A3"/>
  <sheetViews>
    <sheetView workbookViewId="0">
      <selection activeCell="A2" sqref="A2"/>
    </sheetView>
  </sheetViews>
  <sheetFormatPr defaultRowHeight="15"/>
  <cols>
    <col min="1" max="1" width="53.85546875" bestFit="1" customWidth="1"/>
  </cols>
  <sheetData>
    <row r="1" spans="1:1" ht="21">
      <c r="A1" s="10" t="s">
        <v>59</v>
      </c>
    </row>
    <row r="2" spans="1:1">
      <c r="A2" s="9" t="s">
        <v>50</v>
      </c>
    </row>
    <row r="3" spans="1:1">
      <c r="A3" s="21" t="s">
        <v>60</v>
      </c>
    </row>
  </sheetData>
  <hyperlinks>
    <hyperlink ref="A2" location="'00_HOME'!A1" display="← Home" xr:uid="{11456745-479D-4F05-86D0-BB5DF536880D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D2152-741A-40D4-A31C-F0872B3499FA}">
  <sheetPr codeName="Sheet14">
    <tabColor rgb="FF6B7280"/>
  </sheetPr>
  <dimension ref="A1:A3"/>
  <sheetViews>
    <sheetView workbookViewId="0">
      <selection activeCell="A2" sqref="A2"/>
    </sheetView>
  </sheetViews>
  <sheetFormatPr defaultRowHeight="15"/>
  <cols>
    <col min="1" max="1" width="50.7109375" bestFit="1" customWidth="1"/>
  </cols>
  <sheetData>
    <row r="1" spans="1:1" ht="21">
      <c r="A1" s="10" t="s">
        <v>61</v>
      </c>
    </row>
    <row r="2" spans="1:1">
      <c r="A2" s="9" t="s">
        <v>50</v>
      </c>
    </row>
    <row r="3" spans="1:1">
      <c r="A3" s="21" t="s">
        <v>62</v>
      </c>
    </row>
  </sheetData>
  <hyperlinks>
    <hyperlink ref="A2" location="'00_HOME'!A1" display="← Home" xr:uid="{081F9922-60A0-49CF-937B-14A772A5EE48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BF4C0-9F00-47D8-B03E-701999FC2538}">
  <sheetPr codeName="Sheet15">
    <tabColor rgb="FF6B7280"/>
  </sheetPr>
  <dimension ref="A1:A3"/>
  <sheetViews>
    <sheetView workbookViewId="0">
      <selection activeCell="A2" sqref="A2"/>
    </sheetView>
  </sheetViews>
  <sheetFormatPr defaultRowHeight="15"/>
  <cols>
    <col min="1" max="1" width="54.28515625" bestFit="1" customWidth="1"/>
  </cols>
  <sheetData>
    <row r="1" spans="1:1" ht="21">
      <c r="A1" s="10" t="s">
        <v>63</v>
      </c>
    </row>
    <row r="2" spans="1:1">
      <c r="A2" s="9" t="s">
        <v>50</v>
      </c>
    </row>
    <row r="3" spans="1:1">
      <c r="A3" s="21" t="s">
        <v>62</v>
      </c>
    </row>
  </sheetData>
  <hyperlinks>
    <hyperlink ref="A2" location="'00_HOME'!A1" display="← Home" xr:uid="{6E504EA3-AE96-4F1C-A1D3-3A3B49D5ACB5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5155B-68A0-410E-9472-FCE8D1E32655}">
  <sheetPr codeName="Sheet16">
    <tabColor rgb="FF6B7280"/>
  </sheetPr>
  <dimension ref="A1:A3"/>
  <sheetViews>
    <sheetView workbookViewId="0">
      <selection activeCell="A2" sqref="A2"/>
    </sheetView>
  </sheetViews>
  <sheetFormatPr defaultRowHeight="15"/>
  <cols>
    <col min="1" max="1" width="50.7109375" bestFit="1" customWidth="1"/>
  </cols>
  <sheetData>
    <row r="1" spans="1:1" ht="21">
      <c r="A1" s="10" t="s">
        <v>64</v>
      </c>
    </row>
    <row r="2" spans="1:1">
      <c r="A2" s="9" t="s">
        <v>50</v>
      </c>
    </row>
    <row r="3" spans="1:1">
      <c r="A3" s="21" t="s">
        <v>62</v>
      </c>
    </row>
  </sheetData>
  <hyperlinks>
    <hyperlink ref="A2" location="'00_HOME'!A1" display="← Home" xr:uid="{3C4B08A7-EF28-46E5-B3C5-629250275F98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2B8E1-30F7-4B5E-A35D-7E9369521DC7}">
  <sheetPr codeName="Sheet17">
    <tabColor rgb="FFC98200"/>
  </sheetPr>
  <dimension ref="A1:F3"/>
  <sheetViews>
    <sheetView showGridLines="0" tabSelected="1" workbookViewId="0">
      <selection activeCell="K11" sqref="K11"/>
    </sheetView>
  </sheetViews>
  <sheetFormatPr defaultRowHeight="15"/>
  <cols>
    <col min="1" max="1" width="54.5703125" bestFit="1" customWidth="1"/>
  </cols>
  <sheetData>
    <row r="1" spans="1:6" ht="21">
      <c r="A1" s="10" t="s">
        <v>66</v>
      </c>
    </row>
    <row r="2" spans="1:6">
      <c r="A2" s="16" t="s">
        <v>50</v>
      </c>
    </row>
    <row r="3" spans="1:6">
      <c r="A3" s="22" t="s">
        <v>65</v>
      </c>
      <c r="B3" s="23"/>
      <c r="C3" s="23"/>
      <c r="D3" s="23"/>
      <c r="E3" s="23"/>
      <c r="F3" s="23"/>
    </row>
  </sheetData>
  <hyperlinks>
    <hyperlink ref="A2" location="'00_HOME'!A1" display="← Home" xr:uid="{ADFCF885-E40F-41E5-977A-1A11AF933548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02B76-BACF-4073-B1C5-61011C4DD937}">
  <sheetPr codeName="Sheet18">
    <tabColor rgb="FFC98200"/>
  </sheetPr>
  <dimension ref="A1:F3"/>
  <sheetViews>
    <sheetView showGridLines="0" workbookViewId="0"/>
  </sheetViews>
  <sheetFormatPr defaultRowHeight="15"/>
  <cols>
    <col min="1" max="1" width="50" bestFit="1" customWidth="1"/>
  </cols>
  <sheetData>
    <row r="1" spans="1:6" ht="21">
      <c r="A1" s="10" t="s">
        <v>67</v>
      </c>
      <c r="B1" s="10"/>
      <c r="C1" s="10"/>
      <c r="D1" s="10"/>
      <c r="E1" s="10"/>
      <c r="F1" s="10"/>
    </row>
    <row r="2" spans="1:6">
      <c r="A2" s="16" t="s">
        <v>50</v>
      </c>
    </row>
    <row r="3" spans="1:6">
      <c r="A3" s="22" t="s">
        <v>68</v>
      </c>
      <c r="B3" s="23"/>
      <c r="C3" s="23"/>
      <c r="D3" s="23"/>
      <c r="E3" s="23"/>
      <c r="F3" s="23"/>
    </row>
  </sheetData>
  <hyperlinks>
    <hyperlink ref="A2" location="'00_HOME'!A1" display="← Home" xr:uid="{2DCE6093-6F8D-4B7D-A0FC-8D8682B972A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7</vt:i4>
      </vt:variant>
    </vt:vector>
  </HeadingPairs>
  <TitlesOfParts>
    <vt:vector size="24" baseType="lpstr">
      <vt:lpstr>00_HOME</vt:lpstr>
      <vt:lpstr>01_CONFIG</vt:lpstr>
      <vt:lpstr>02_CONTROL</vt:lpstr>
      <vt:lpstr>10_DATA_Products</vt:lpstr>
      <vt:lpstr>11_DATA_Sites</vt:lpstr>
      <vt:lpstr>12_DATA_Suppliers</vt:lpstr>
      <vt:lpstr>13_DATA_Inventory</vt:lpstr>
      <vt:lpstr>14_DATA_PurchaseOrders</vt:lpstr>
      <vt:lpstr>15_DATA_Quality</vt:lpstr>
      <vt:lpstr>16_DATA_Date</vt:lpstr>
      <vt:lpstr>20_CALC_Replenishment</vt:lpstr>
      <vt:lpstr>21_CALC_SupplierPerformance</vt:lpstr>
      <vt:lpstr>30_PVT_Inventory</vt:lpstr>
      <vt:lpstr>31_PVT_Procurement</vt:lpstr>
      <vt:lpstr>32_PVT_Suppliers</vt:lpstr>
      <vt:lpstr>40_RPT_Replenishment</vt:lpstr>
      <vt:lpstr>41_DASH_Management</vt:lpstr>
      <vt:lpstr>cfg_DemandHistoryWeeks</vt:lpstr>
      <vt:lpstr>cfg_ExcessBufferWeeks</vt:lpstr>
      <vt:lpstr>cfg_ReportingDate</vt:lpstr>
      <vt:lpstr>cfg_ReviewPeriodWeeks</vt:lpstr>
      <vt:lpstr>cfg_ServiceLevelA</vt:lpstr>
      <vt:lpstr>cfg_ServiceLevelB</vt:lpstr>
      <vt:lpstr>cfg_ServiceLevelC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 MILLER</dc:creator>
  <cp:lastModifiedBy>ANGEL MILLER</cp:lastModifiedBy>
  <dcterms:created xsi:type="dcterms:W3CDTF">2026-09-07T22:17:35Z</dcterms:created>
  <dcterms:modified xsi:type="dcterms:W3CDTF">2026-09-08T00:50:55Z</dcterms:modified>
</cp:coreProperties>
</file>